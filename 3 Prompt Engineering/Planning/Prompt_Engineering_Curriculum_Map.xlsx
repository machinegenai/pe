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urriculum Map" sheetId="1" state="visible" r:id="rId1"/>
    <sheet xmlns:r="http://schemas.openxmlformats.org/officeDocument/2006/relationships" name="Coverage Dashboard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733"/>
      <sz val="9"/>
    </font>
    <font>
      <name val="Arial"/>
      <charset val="1"/>
      <family val="0"/>
      <i val="1"/>
      <color rgb="FF5E6A78"/>
      <sz val="9"/>
    </font>
    <font>
      <name val="Arial"/>
      <charset val="1"/>
      <family val="0"/>
      <b val="1"/>
      <color rgb="FFD31242"/>
      <sz val="14"/>
    </font>
    <font>
      <name val="Arial"/>
      <charset val="1"/>
      <family val="0"/>
      <b val="1"/>
      <color rgb="FF1F2733"/>
      <sz val="10"/>
    </font>
    <font>
      <name val="Arial"/>
      <charset val="1"/>
      <family val="0"/>
      <color rgb="FF1F2733"/>
      <sz val="10"/>
    </font>
  </fonts>
  <fills count="6">
    <fill>
      <patternFill/>
    </fill>
    <fill>
      <patternFill patternType="gray125"/>
    </fill>
    <fill>
      <patternFill patternType="solid">
        <fgColor rgb="FFD31242"/>
        <bgColor rgb="FF993366"/>
      </patternFill>
    </fill>
    <fill>
      <patternFill patternType="solid">
        <fgColor rgb="FFFCE4EA"/>
        <bgColor rgb="FFFDECEF"/>
      </patternFill>
    </fill>
    <fill>
      <patternFill patternType="solid">
        <fgColor rgb="FFF5F6F8"/>
        <bgColor rgb="FFFFFFFF"/>
      </patternFill>
    </fill>
    <fill>
      <patternFill patternType="solid">
        <fgColor rgb="FFFDECEF"/>
        <bgColor rgb="FFFCE4EA"/>
      </patternFill>
    </fill>
  </fills>
  <borders count="2">
    <border>
      <left/>
      <right/>
      <top/>
      <bottom/>
      <diagonal/>
    </border>
    <border>
      <left style="thin">
        <color rgb="FFE7E9EE"/>
      </left>
      <right style="thin">
        <color rgb="FFE7E9EE"/>
      </right>
      <top style="thin">
        <color rgb="FFE7E9EE"/>
      </top>
      <bottom style="thin">
        <color rgb="FFE7E9E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3124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6F8"/>
      <rgbColor rgb="FFE7E9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CEF"/>
      <rgbColor rgb="FFCCFFCC"/>
      <rgbColor rgb="FFFFFF99"/>
      <rgbColor rgb="FF99CCFF"/>
      <rgbColor rgb="FFFF99CC"/>
      <rgbColor rgb="FFCC99FF"/>
      <rgbColor rgb="FFFCE4EA"/>
      <rgbColor rgb="FF3366FF"/>
      <rgbColor rgb="FF33CCCC"/>
      <rgbColor rgb="FF99CC00"/>
      <rgbColor rgb="FFFFCC00"/>
      <rgbColor rgb="FFFF9900"/>
      <rgbColor rgb="FFFF6600"/>
      <rgbColor rgb="FF5E6A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7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9" min="1" max="1"/>
    <col width="20" customWidth="1" style="19" min="2" max="2"/>
    <col width="26" customWidth="1" style="19" min="3" max="3"/>
    <col width="34" customWidth="1" style="19" min="4" max="4"/>
    <col width="20" customWidth="1" style="19" min="5" max="5"/>
    <col width="30" customWidth="1" style="19" min="6" max="6"/>
    <col width="22" customWidth="1" style="19" min="7" max="7"/>
    <col width="28" customWidth="1" style="19" min="8" max="8"/>
    <col width="34" customWidth="1" style="19" min="9" max="9"/>
    <col width="10" customWidth="1" style="19" min="10" max="10"/>
    <col width="9" customWidth="1" style="19" min="11" max="12"/>
    <col width="10" customWidth="1" style="19" min="13" max="13"/>
    <col width="30" customWidth="1" style="19" min="14" max="14"/>
    <col width="34" customWidth="1" style="19" min="15" max="15"/>
    <col width="30" customWidth="1" style="19" min="16" max="16"/>
  </cols>
  <sheetData>
    <row r="1" ht="39.75" customHeight="1" s="20">
      <c r="A1" s="21" t="inlineStr">
        <is>
          <t>#</t>
        </is>
      </c>
      <c r="B1" s="21" t="inlineStr">
        <is>
          <t>Level</t>
        </is>
      </c>
      <c r="C1" s="21" t="inlineStr">
        <is>
          <t>Module / Section</t>
        </is>
      </c>
      <c r="D1" s="21" t="inlineStr">
        <is>
          <t>Learning objective(s)</t>
        </is>
      </c>
      <c r="E1" s="21" t="inlineStr">
        <is>
          <t>Framework element</t>
        </is>
      </c>
      <c r="F1" s="21" t="inlineStr">
        <is>
          <t>Why it matters (BJ's)</t>
        </is>
      </c>
      <c r="G1" s="21" t="inlineStr">
        <is>
          <t>Slide format(s)</t>
        </is>
      </c>
      <c r="H1" s="21" t="inlineStr">
        <is>
          <t>Running example</t>
        </is>
      </c>
      <c r="I1" s="21" t="inlineStr">
        <is>
          <t>Live Claude demo</t>
        </is>
      </c>
      <c r="J1" s="21" t="inlineStr">
        <is>
          <t>Core / Optional</t>
        </is>
      </c>
      <c r="K1" s="21" t="inlineStr">
        <is>
          <t>Delivery</t>
        </is>
      </c>
      <c r="L1" s="21" t="inlineStr">
        <is>
          <t>Duration (min)</t>
        </is>
      </c>
      <c r="M1" s="21" t="inlineStr">
        <is>
          <t>Status</t>
        </is>
      </c>
      <c r="N1" s="21" t="inlineStr">
        <is>
          <t>Assets</t>
        </is>
      </c>
      <c r="O1" s="21" t="inlineStr">
        <is>
          <t>Rationale / deviation</t>
        </is>
      </c>
      <c r="P1" s="21" t="inlineStr">
        <is>
          <t>Source / review-by</t>
        </is>
      </c>
    </row>
    <row r="2" ht="22.35" customHeight="1" s="20">
      <c r="A2" s="22" t="inlineStr">
        <is>
          <t>B0</t>
        </is>
      </c>
      <c r="B2" s="23" t="inlineStr">
        <is>
          <t>Beginner — From Asking to Composing</t>
        </is>
      </c>
      <c r="C2" s="23" t="inlineStr">
        <is>
          <t>Roadmap + “where are you now?” self-check</t>
        </is>
      </c>
      <c r="D2" s="23" t="inlineStr">
        <is>
          <t>Locate yourself on the Beginner→Advanced journey and see where it leads</t>
        </is>
      </c>
      <c r="E2" s="23" t="inlineStr">
        <is>
          <t>Roadmap / Maturity model</t>
        </is>
      </c>
      <c r="F2" s="23" t="inlineStr">
        <is>
          <t>Champions stay motivated when they see the full path, not just today</t>
        </is>
      </c>
      <c r="G2" s="23" t="inlineStr">
        <is>
          <t>Divider, roadmap graphic, quick self-check</t>
        </is>
      </c>
      <c r="H2" s="23" t="inlineStr">
        <is>
          <t>— (orientation)</t>
        </is>
      </c>
      <c r="I2" s="23" t="inlineStr">
        <is>
          <t>Show the 3-stage roadmap: Asking→Composing→Directing→Designing</t>
        </is>
      </c>
      <c r="J2" s="22" t="inlineStr">
        <is>
          <t>Core</t>
        </is>
      </c>
      <c r="K2" s="22" t="inlineStr">
        <is>
          <t>Both</t>
        </is>
      </c>
      <c r="L2" s="22" t="n">
        <v>3</v>
      </c>
      <c r="M2" s="22" t="inlineStr">
        <is>
          <t>Planned</t>
        </is>
      </c>
      <c r="N2" s="23" t="inlineStr">
        <is>
          <t>Roadmap slide (recurs in all 3 decks)</t>
        </is>
      </c>
      <c r="O2" s="23" t="inlineStr">
        <is>
          <t>ADDED beyond skeleton: recurring roadmap + maturity model for multi-level cohesion</t>
        </is>
      </c>
      <c r="P2" s="23" t="inlineStr">
        <is>
          <t>Skill house-rules; user request</t>
        </is>
      </c>
    </row>
    <row r="3" ht="32.8" customHeight="1" s="20">
      <c r="A3" s="22" t="inlineStr">
        <is>
          <t>B1</t>
        </is>
      </c>
      <c r="B3" s="23" t="inlineStr">
        <is>
          <t>Beginner — From Asking to Composing</t>
        </is>
      </c>
      <c r="C3" s="23" t="inlineStr">
        <is>
          <t>The mental model</t>
        </is>
      </c>
      <c r="D3" s="23" t="inlineStr">
        <is>
          <t>Explain in plain words what an AI is doing, and why structure beats a one-liner</t>
        </is>
      </c>
      <c r="E3" s="23" t="inlineStr">
        <is>
          <t>Foundation</t>
        </is>
      </c>
      <c r="F3" s="23" t="inlineStr">
        <is>
          <t>Wrong mental model (“it's Google / it reads my mind”) is the #1 root cause of bad results</t>
        </is>
      </c>
      <c r="G3" s="23" t="inlineStr">
        <is>
          <t>Teaching card, before/after</t>
        </is>
      </c>
      <c r="H3" s="23" t="inlineStr">
        <is>
          <t>A specific member complaint (auto-renewal charge dispute)</t>
        </is>
      </c>
      <c r="I3" s="23" t="inlineStr">
        <is>
          <t>“Write something about our return policy” vs. a structured version, side by side</t>
        </is>
      </c>
      <c r="J3" s="22" t="inlineStr">
        <is>
          <t>Core</t>
        </is>
      </c>
      <c r="K3" s="22" t="inlineStr">
        <is>
          <t>Both</t>
        </is>
      </c>
      <c r="L3" s="22" t="n">
        <v>6</v>
      </c>
      <c r="M3" s="22" t="inlineStr">
        <is>
          <t>Planned</t>
        </is>
      </c>
      <c r="N3" s="23" t="inlineStr">
        <is>
          <t>Deck slides</t>
        </is>
      </c>
      <c r="O3" s="23" t="inlineStr">
        <is>
          <t>—</t>
        </is>
      </c>
      <c r="P3" s="23" t="inlineStr">
        <is>
          <t>Anthropic overview; promptingguide.ai basics (Jul 2026)</t>
        </is>
      </c>
    </row>
    <row r="4" ht="32.8" customHeight="1" s="20">
      <c r="A4" s="22" t="inlineStr">
        <is>
          <t>B2</t>
        </is>
      </c>
      <c r="B4" s="23" t="inlineStr">
        <is>
          <t>Beginner — From Asking to Composing</t>
        </is>
      </c>
      <c r="C4" s="23" t="inlineStr">
        <is>
          <t>Meet the framework — CO-STAR</t>
        </is>
      </c>
      <c r="D4" s="23" t="inlineStr">
        <is>
          <t>Name the six parts of a strong prompt: Context, Objective, Style, Tone, Audience, Response</t>
        </is>
      </c>
      <c r="E4" s="23" t="inlineStr">
        <is>
          <t>CO-STAR (all six)</t>
        </is>
      </c>
      <c r="F4" s="23" t="inlineStr">
        <is>
          <t>One robust, named, re-teachable framework the whole org can share</t>
        </is>
      </c>
      <c r="G4" s="23" t="inlineStr">
        <is>
          <t>Teaching card (the empty template)</t>
        </is>
      </c>
      <c r="H4" s="23" t="inlineStr">
        <is>
          <t>The member-complaint reply (same thread)</t>
        </is>
      </c>
      <c r="I4" s="23" t="inlineStr">
        <is>
          <t>Show the empty CO-STAR template; name each slot in plain words</t>
        </is>
      </c>
      <c r="J4" s="22" t="inlineStr">
        <is>
          <t>Core</t>
        </is>
      </c>
      <c r="K4" s="22" t="inlineStr">
        <is>
          <t>Both</t>
        </is>
      </c>
      <c r="L4" s="22" t="n">
        <v>6</v>
      </c>
      <c r="M4" s="22" t="inlineStr">
        <is>
          <t>Planned</t>
        </is>
      </c>
      <c r="N4" s="23" t="inlineStr">
        <is>
          <t>Deck slides + CO-STAR job-aid card</t>
        </is>
      </c>
      <c r="O4" s="23" t="inlineStr">
        <is>
          <t>SPINE choice: CO-STAR benchmarked as most robust + memorable; Audience/Tone fit member comms</t>
        </is>
      </c>
      <c r="P4" s="23" t="inlineStr">
        <is>
          <t>GovTech CO-STAR; benchmarked vs Anthropic/OpenAI/Google TCREI (Jul 2026)</t>
        </is>
      </c>
    </row>
    <row r="5" ht="32.8" customHeight="1" s="20">
      <c r="A5" s="22" t="inlineStr">
        <is>
          <t>B3</t>
        </is>
      </c>
      <c r="B5" s="23" t="inlineStr">
        <is>
          <t>Beginner — From Asking to Composing</t>
        </is>
      </c>
      <c r="C5" s="23" t="inlineStr">
        <is>
          <t>Build a prompt slot-by-slot</t>
        </is>
      </c>
      <c r="D5" s="23" t="inlineStr">
        <is>
          <t>Compose a strong prompt by adding C→O→S→T→A→R one at a time</t>
        </is>
      </c>
      <c r="E5" s="23" t="inlineStr">
        <is>
          <t>CO-STAR (applied)</t>
        </is>
      </c>
      <c r="F5" s="23" t="inlineStr">
        <is>
          <t>Watching output sharpen at each slot is the memorable, transferable core of the course</t>
        </is>
      </c>
      <c r="G5" s="23" t="inlineStr">
        <is>
          <t>Step-by-step walkthrough (6 build steps)</t>
        </is>
      </c>
      <c r="H5" s="23" t="inlineStr">
        <is>
          <t>The member-complaint reply, assembled live</t>
        </is>
      </c>
      <c r="I5" s="23" t="inlineStr">
        <is>
          <t>Start with “reply to this angry member,” add each slot, re-run and compare each time</t>
        </is>
      </c>
      <c r="J5" s="22" t="inlineStr">
        <is>
          <t>Core</t>
        </is>
      </c>
      <c r="K5" s="22" t="inlineStr">
        <is>
          <t>Both</t>
        </is>
      </c>
      <c r="L5" s="22" t="n">
        <v>20</v>
      </c>
      <c r="M5" s="22" t="inlineStr">
        <is>
          <t>Planned</t>
        </is>
      </c>
      <c r="N5" s="23" t="inlineStr">
        <is>
          <t>Deck slides</t>
        </is>
      </c>
      <c r="O5" s="23" t="inlineStr">
        <is>
          <t>—</t>
        </is>
      </c>
      <c r="P5" s="23" t="inlineStr">
        <is>
          <t>GovTech CO-STAR (Jul 2026)</t>
        </is>
      </c>
    </row>
    <row r="6" ht="32.8" customHeight="1" s="20">
      <c r="A6" s="22" t="inlineStr">
        <is>
          <t>B4</t>
        </is>
      </c>
      <c r="B6" s="23" t="inlineStr">
        <is>
          <t>Beginner — From Asking to Composing</t>
        </is>
      </c>
      <c r="C6" s="23" t="inlineStr">
        <is>
          <t>The Refine loop</t>
        </is>
      </c>
      <c r="D6" s="23" t="inlineStr">
        <is>
          <t>Evaluate an output against what you needed, then iterate in conversation</t>
        </is>
      </c>
      <c r="E6" s="23" t="inlineStr">
        <is>
          <t>Refine (Evaluate + Iterate)</t>
        </is>
      </c>
      <c r="F6" s="23" t="inlineStr">
        <is>
          <t>Closes CO-STAR's one gap; where beginners get most of their real-world gains</t>
        </is>
      </c>
      <c r="G6" s="23" t="inlineStr">
        <is>
          <t>Teaching card, before/after</t>
        </is>
      </c>
      <c r="H6" s="23" t="inlineStr">
        <is>
          <t>The assembled reply, improved with one follow-up</t>
        </is>
      </c>
      <c r="I6" s="23" t="inlineStr">
        <is>
          <t>“Warmer, and offer the membership credit” — refine rather than restart</t>
        </is>
      </c>
      <c r="J6" s="22" t="inlineStr">
        <is>
          <t>Core</t>
        </is>
      </c>
      <c r="K6" s="22" t="inlineStr">
        <is>
          <t>Both</t>
        </is>
      </c>
      <c r="L6" s="22" t="n">
        <v>6</v>
      </c>
      <c r="M6" s="22" t="inlineStr">
        <is>
          <t>Planned</t>
        </is>
      </c>
      <c r="N6" s="23" t="inlineStr">
        <is>
          <t>Deck slides</t>
        </is>
      </c>
      <c r="O6" s="23" t="inlineStr">
        <is>
          <t>ADDED: Refine loop bolted onto CO-STAR (from Google TCREI + Anthropic) to cover evaluate/iterate</t>
        </is>
      </c>
      <c r="P6" s="23" t="inlineStr">
        <is>
          <t>Google TCREI; Anthropic (Jul 2026)</t>
        </is>
      </c>
    </row>
    <row r="7" ht="22.35" customHeight="1" s="20">
      <c r="A7" s="22" t="inlineStr">
        <is>
          <t>B5</t>
        </is>
      </c>
      <c r="B7" s="23" t="inlineStr">
        <is>
          <t>Beginner — From Asking to Composing</t>
        </is>
      </c>
      <c r="C7" s="23" t="inlineStr">
        <is>
          <t>Takeaways + roadmap recap + try-this</t>
        </is>
      </c>
      <c r="D7" s="23" t="inlineStr">
        <is>
          <t>Recall CO-STAR + Refine; take one real task back to your desk</t>
        </is>
      </c>
      <c r="E7" s="23" t="inlineStr">
        <is>
          <t>Roadmap / all</t>
        </is>
      </c>
      <c r="F7" s="23" t="inlineStr">
        <is>
          <t>Closes the loop to objectives; seeds the pull into Intermediate</t>
        </is>
      </c>
      <c r="G7" s="23" t="inlineStr">
        <is>
          <t>Takeaways, roadmap recap, try-this card</t>
        </is>
      </c>
      <c r="H7" s="23" t="inlineStr">
        <is>
          <t>The member-complaint thread (recap)</t>
        </is>
      </c>
      <c r="I7" s="23" t="inlineStr">
        <is>
          <t>Recap the CO-STAR + Refine card; “next stop: Directing”</t>
        </is>
      </c>
      <c r="J7" s="22" t="inlineStr">
        <is>
          <t>Core</t>
        </is>
      </c>
      <c r="K7" s="22" t="inlineStr">
        <is>
          <t>Both</t>
        </is>
      </c>
      <c r="L7" s="22" t="n">
        <v>4</v>
      </c>
      <c r="M7" s="22" t="inlineStr">
        <is>
          <t>Planned</t>
        </is>
      </c>
      <c r="N7" s="23" t="inlineStr">
        <is>
          <t>Deck slides + one-card job aid + “try this Monday” task</t>
        </is>
      </c>
      <c r="O7" s="23" t="inlineStr">
        <is>
          <t>—</t>
        </is>
      </c>
      <c r="P7" s="23" t="inlineStr">
        <is>
          <t>—</t>
        </is>
      </c>
    </row>
    <row r="8" ht="32.8" customHeight="1" s="20">
      <c r="A8" s="24" t="inlineStr">
        <is>
          <t>BA</t>
        </is>
      </c>
      <c r="B8" s="25" t="inlineStr">
        <is>
          <t>Beginner — From Asking to Composing</t>
        </is>
      </c>
      <c r="C8" s="25" t="inlineStr">
        <is>
          <t>APPENDIX — go deeper (self-read)</t>
        </is>
      </c>
      <c r="D8" s="25" t="inlineStr">
        <is>
          <t>Optional depth: how models predict text; 8 before/after examples; tool differences; job aid</t>
        </is>
      </c>
      <c r="E8" s="25" t="inlineStr">
        <is>
          <t>—</t>
        </is>
      </c>
      <c r="F8" s="25" t="inlineStr">
        <is>
          <t>Lets the taught spine stay lean while curious Champions can go further</t>
        </is>
      </c>
      <c r="G8" s="25" t="inlineStr">
        <is>
          <t>Appendix concept + example pairs</t>
        </is>
      </c>
      <c r="H8" s="25" t="inlineStr">
        <is>
          <t>Assorted BJ's tasks</t>
        </is>
      </c>
      <c r="I8" s="25" t="inlineStr">
        <is>
          <t>— (self-read)</t>
        </is>
      </c>
      <c r="J8" s="24" t="inlineStr">
        <is>
          <t>Optional</t>
        </is>
      </c>
      <c r="K8" s="24" t="inlineStr">
        <is>
          <t>Self-read</t>
        </is>
      </c>
      <c r="L8" s="24" t="n">
        <v>0</v>
      </c>
      <c r="M8" s="24" t="inlineStr">
        <is>
          <t>Planned</t>
        </is>
      </c>
      <c r="N8" s="25" t="inlineStr">
        <is>
          <t>Job aid card; example library; tool-comparison one-pager</t>
        </is>
      </c>
      <c r="O8" s="25" t="inlineStr">
        <is>
          <t>Appendix teaches (concept→example) per house rules</t>
        </is>
      </c>
      <c r="P8" s="25" t="inlineStr">
        <is>
          <t>Anthropic “Be clear and direct”; promptingguide.ai (Jul 2026)</t>
        </is>
      </c>
    </row>
    <row r="9" ht="22.35" customHeight="1" s="20">
      <c r="A9" s="26" t="inlineStr">
        <is>
          <t>I0</t>
        </is>
      </c>
      <c r="B9" s="27" t="inlineStr">
        <is>
          <t>Intermediate — From Composing to Directing</t>
        </is>
      </c>
      <c r="C9" s="27" t="inlineStr">
        <is>
          <t>Roadmap “you are here” + recap</t>
        </is>
      </c>
      <c r="D9" s="27" t="inlineStr">
        <is>
          <t>Re-anchor on the journey; recall CO-STAR + Refine</t>
        </is>
      </c>
      <c r="E9" s="27" t="inlineStr">
        <is>
          <t>Roadmap / Maturity model</t>
        </is>
      </c>
      <c r="F9" s="27" t="inlineStr">
        <is>
          <t>Continuity across decks; reminds Champions of the shared spine</t>
        </is>
      </c>
      <c r="G9" s="27" t="inlineStr">
        <is>
          <t>Divider, roadmap graphic</t>
        </is>
      </c>
      <c r="H9" s="27" t="inlineStr">
        <is>
          <t>A batch of member-feedback comments (new thread)</t>
        </is>
      </c>
      <c r="I9" s="27" t="inlineStr">
        <is>
          <t>Roadmap with Intermediate highlighted</t>
        </is>
      </c>
      <c r="J9" s="26" t="inlineStr">
        <is>
          <t>Core</t>
        </is>
      </c>
      <c r="K9" s="26" t="inlineStr">
        <is>
          <t>Both</t>
        </is>
      </c>
      <c r="L9" s="26" t="n">
        <v>3</v>
      </c>
      <c r="M9" s="26" t="inlineStr">
        <is>
          <t>Built</t>
        </is>
      </c>
      <c r="N9" s="27" t="inlineStr">
        <is>
          <t>Deck slides</t>
        </is>
      </c>
      <c r="O9" s="27" t="inlineStr">
        <is>
          <t>—</t>
        </is>
      </c>
      <c r="P9" s="27" t="inlineStr">
        <is>
          <t>Skill house-rules</t>
        </is>
      </c>
    </row>
    <row r="10" ht="32.8" customHeight="1" s="20">
      <c r="A10" s="26" t="inlineStr">
        <is>
          <t>I1</t>
        </is>
      </c>
      <c r="B10" s="27" t="inlineStr">
        <is>
          <t>Intermediate — From Composing to Directing</t>
        </is>
      </c>
      <c r="C10" s="27" t="inlineStr">
        <is>
          <t>Show, don't just tell (examples)</t>
        </is>
      </c>
      <c r="D10" s="27" t="inlineStr">
        <is>
          <t>Use 1–3 examples to lock in the exact style/format you want</t>
        </is>
      </c>
      <c r="E10" s="27" t="inlineStr">
        <is>
          <t>CO-STAR: References (examples)</t>
        </is>
      </c>
      <c r="F10" s="27" t="inlineStr">
        <is>
          <t>Anthropic ranks examples the #2 most effective technique; deferred from Beginner on purpose</t>
        </is>
      </c>
      <c r="G10" s="27" t="inlineStr">
        <is>
          <t>Teaching card, before/after</t>
        </is>
      </c>
      <c r="H10" s="27" t="inlineStr">
        <is>
          <t>Formatting messy member-feedback entries consistently</t>
        </is>
      </c>
      <c r="I10" s="27" t="inlineStr">
        <is>
          <t>Format 5 entries by first showing 2 done “right”</t>
        </is>
      </c>
      <c r="J10" s="26" t="inlineStr">
        <is>
          <t>Core</t>
        </is>
      </c>
      <c r="K10" s="26" t="inlineStr">
        <is>
          <t>Both</t>
        </is>
      </c>
      <c r="L10" s="26" t="n">
        <v>8</v>
      </c>
      <c r="M10" s="26" t="inlineStr">
        <is>
          <t>Built</t>
        </is>
      </c>
      <c r="N10" s="27" t="inlineStr">
        <is>
          <t>Deck slides</t>
        </is>
      </c>
      <c r="O10" s="27" t="inlineStr">
        <is>
          <t>Examples DEFERRED here from Beginner to keep Beginner focused on composition</t>
        </is>
      </c>
      <c r="P10" s="27" t="inlineStr">
        <is>
          <t>Anthropic multishot; OpenAI examples (Jul 2026)</t>
        </is>
      </c>
    </row>
    <row r="11" ht="22.35" customHeight="1" s="20">
      <c r="A11" s="26" t="inlineStr">
        <is>
          <t>I2</t>
        </is>
      </c>
      <c r="B11" s="27" t="inlineStr">
        <is>
          <t>Intermediate — From Composing to Directing</t>
        </is>
      </c>
      <c r="C11" s="27" t="inlineStr">
        <is>
          <t>Let it think first</t>
        </is>
      </c>
      <c r="D11" s="27" t="inlineStr">
        <is>
          <t>Ask for reasoning/steps before the answer on harder tasks</t>
        </is>
      </c>
      <c r="E11" s="27" t="inlineStr">
        <is>
          <t>Refine + reasoning</t>
        </is>
      </c>
      <c r="F11" s="27" t="inlineStr">
        <is>
          <t>Better judgments on prioritization / analysis tasks Champions actually face</t>
        </is>
      </c>
      <c r="G11" s="27" t="inlineStr">
        <is>
          <t>Teaching card, before/after</t>
        </is>
      </c>
      <c r="H11" s="27" t="inlineStr">
        <is>
          <t>“Which complaints to escalate first?” over the feedback batch</t>
        </is>
      </c>
      <c r="I11" s="27" t="inlineStr">
        <is>
          <t>Same task with vs. without “reason it through first”</t>
        </is>
      </c>
      <c r="J11" s="26" t="inlineStr">
        <is>
          <t>Core</t>
        </is>
      </c>
      <c r="K11" s="26" t="inlineStr">
        <is>
          <t>Both</t>
        </is>
      </c>
      <c r="L11" s="26" t="n">
        <v>8</v>
      </c>
      <c r="M11" s="26" t="inlineStr">
        <is>
          <t>Built</t>
        </is>
      </c>
      <c r="N11" s="27" t="inlineStr">
        <is>
          <t>Deck slides</t>
        </is>
      </c>
      <c r="O11" s="27" t="inlineStr">
        <is>
          <t>—</t>
        </is>
      </c>
      <c r="P11" s="27" t="inlineStr">
        <is>
          <t>Anthropic (let Claude think); promptingguide.ai CoT (Jul 2026)</t>
        </is>
      </c>
    </row>
    <row r="12" ht="22.35" customHeight="1" s="20">
      <c r="A12" s="26" t="inlineStr">
        <is>
          <t>I3</t>
        </is>
      </c>
      <c r="B12" s="27" t="inlineStr">
        <is>
          <t>Intermediate — From Composing to Directing</t>
        </is>
      </c>
      <c r="C12" s="27" t="inlineStr">
        <is>
          <t>Structure a long prompt</t>
        </is>
      </c>
      <c r="D12" s="27" t="inlineStr">
        <is>
          <t>Separate your instructions from the source text with clear sections/delimiters</t>
        </is>
      </c>
      <c r="E12" s="27" t="inlineStr">
        <is>
          <t>CO-STAR: Context (structured)</t>
        </is>
      </c>
      <c r="F12" s="27" t="inlineStr">
        <is>
          <t>Stops instructions and data blurring together on big, messy inputs</t>
        </is>
      </c>
      <c r="G12" s="27" t="inlineStr">
        <is>
          <t>Teaching card, step-by-step</t>
        </is>
      </c>
      <c r="H12" s="27" t="inlineStr">
        <is>
          <t>Analyzing a wall of survey comments with a delimited prompt</t>
        </is>
      </c>
      <c r="I12" s="27" t="inlineStr">
        <is>
          <t>Same analysis, unstructured vs. clearly delimited prompt</t>
        </is>
      </c>
      <c r="J12" s="26" t="inlineStr">
        <is>
          <t>Core</t>
        </is>
      </c>
      <c r="K12" s="26" t="inlineStr">
        <is>
          <t>Both</t>
        </is>
      </c>
      <c r="L12" s="26" t="n">
        <v>8</v>
      </c>
      <c r="M12" s="26" t="inlineStr">
        <is>
          <t>Built</t>
        </is>
      </c>
      <c r="N12" s="27" t="inlineStr">
        <is>
          <t>Deck slides</t>
        </is>
      </c>
      <c r="O12" s="27" t="inlineStr">
        <is>
          <t>—</t>
        </is>
      </c>
      <c r="P12" s="27" t="inlineStr">
        <is>
          <t>OpenAI (separate instructions/context); Anthropic XML tags (Jul 2026)</t>
        </is>
      </c>
    </row>
    <row r="13" ht="32.8" customHeight="1" s="20">
      <c r="A13" s="26" t="inlineStr">
        <is>
          <t>I4</t>
        </is>
      </c>
      <c r="B13" s="27" t="inlineStr">
        <is>
          <t>Intermediate — From Composing to Directing</t>
        </is>
      </c>
      <c r="C13" s="27" t="inlineStr">
        <is>
          <t>Work from your own documents</t>
        </is>
      </c>
      <c r="D13" s="27" t="inlineStr">
        <is>
          <t>Ground answers in a source, ask it to quote, and cut down made-up facts</t>
        </is>
      </c>
      <c r="E13" s="27" t="inlineStr">
        <is>
          <t>CO-STAR: Context (grounding)</t>
        </is>
      </c>
      <c r="F13" s="27" t="inlineStr">
        <is>
          <t>The moment real BJ's material enters a prompt — hence a data-safety one-liner here</t>
        </is>
      </c>
      <c r="G13" s="27" t="inlineStr">
        <is>
          <t>Teaching card, before/after</t>
        </is>
      </c>
      <c r="H13" s="27" t="inlineStr">
        <is>
          <t>Summarize a vendor one-pager; pull only what's in it</t>
        </is>
      </c>
      <c r="I13" s="27" t="inlineStr">
        <is>
          <t>Grounded summary that quotes the source and flags unknowns</t>
        </is>
      </c>
      <c r="J13" s="26" t="inlineStr">
        <is>
          <t>Core</t>
        </is>
      </c>
      <c r="K13" s="26" t="inlineStr">
        <is>
          <t>Both</t>
        </is>
      </c>
      <c r="L13" s="26" t="n">
        <v>8</v>
      </c>
      <c r="M13" s="26" t="inlineStr">
        <is>
          <t>Built</t>
        </is>
      </c>
      <c r="N13" s="27" t="inlineStr">
        <is>
          <t>Deck slides + data-safety note</t>
        </is>
      </c>
      <c r="O13" s="27" t="inlineStr">
        <is>
          <t>Data-safety introduced as one-liner (built-in; swap for BJ's policy if one exists)</t>
        </is>
      </c>
      <c r="P13" s="27" t="inlineStr">
        <is>
          <t>OpenAI (reference text); Anthropic (Jul 2026)</t>
        </is>
      </c>
    </row>
    <row r="14" ht="22.35" customHeight="1" s="20">
      <c r="A14" s="26" t="inlineStr">
        <is>
          <t>I5</t>
        </is>
      </c>
      <c r="B14" s="27" t="inlineStr">
        <is>
          <t>Intermediate — From Composing to Directing</t>
        </is>
      </c>
      <c r="C14" s="27" t="inlineStr">
        <is>
          <t>Diagnose &amp; refine deliberately</t>
        </is>
      </c>
      <c r="D14" s="27" t="inlineStr">
        <is>
          <t>Work out why an output missed and fix the prompt, not just re-roll</t>
        </is>
      </c>
      <c r="E14" s="27" t="inlineStr">
        <is>
          <t>Refine (Evaluate + Iterate)</t>
        </is>
      </c>
      <c r="F14" s="27" t="inlineStr">
        <is>
          <t>Turns trial-and-error into a repeatable habit Champions can coach</t>
        </is>
      </c>
      <c r="G14" s="27" t="inlineStr">
        <is>
          <t>Teaching card, before/after</t>
        </is>
      </c>
      <c r="H14" s="27" t="inlineStr">
        <is>
          <t>A flat feedback summary fixed in one targeted revision</t>
        </is>
      </c>
      <c r="I14" s="27" t="inlineStr">
        <is>
          <t>Diagnose → targeted fix → improved output</t>
        </is>
      </c>
      <c r="J14" s="26" t="inlineStr">
        <is>
          <t>Core</t>
        </is>
      </c>
      <c r="K14" s="26" t="inlineStr">
        <is>
          <t>Both</t>
        </is>
      </c>
      <c r="L14" s="26" t="n">
        <v>6</v>
      </c>
      <c r="M14" s="26" t="inlineStr">
        <is>
          <t>Built</t>
        </is>
      </c>
      <c r="N14" s="27" t="inlineStr">
        <is>
          <t>Deck slides</t>
        </is>
      </c>
      <c r="O14" s="27" t="inlineStr">
        <is>
          <t>—</t>
        </is>
      </c>
      <c r="P14" s="27" t="inlineStr">
        <is>
          <t>Google TCREI (Evaluate/Iterate) (Jul 2026)</t>
        </is>
      </c>
    </row>
    <row r="15" ht="22.35" customHeight="1" s="20">
      <c r="A15" s="26" t="inlineStr">
        <is>
          <t>I6</t>
        </is>
      </c>
      <c r="B15" s="27" t="inlineStr">
        <is>
          <t>Intermediate — From Composing to Directing</t>
        </is>
      </c>
      <c r="C15" s="27" t="inlineStr">
        <is>
          <t>Takeaways + roadmap recap + try-this</t>
        </is>
      </c>
      <c r="D15" s="27" t="inlineStr">
        <is>
          <t>Recall the Intermediate moves; take one real task back</t>
        </is>
      </c>
      <c r="E15" s="27" t="inlineStr">
        <is>
          <t>Roadmap / all</t>
        </is>
      </c>
      <c r="F15" s="27" t="inlineStr">
        <is>
          <t>Closes loop; pulls toward Advanced</t>
        </is>
      </c>
      <c r="G15" s="27" t="inlineStr">
        <is>
          <t>Takeaways, roadmap recap, try-this</t>
        </is>
      </c>
      <c r="H15" s="27" t="inlineStr">
        <is>
          <t>Feedback-batch thread (recap)</t>
        </is>
      </c>
      <c r="I15" s="27" t="inlineStr">
        <is>
          <t>Recap card; “next stop: Designing”</t>
        </is>
      </c>
      <c r="J15" s="26" t="inlineStr">
        <is>
          <t>Core</t>
        </is>
      </c>
      <c r="K15" s="26" t="inlineStr">
        <is>
          <t>Both</t>
        </is>
      </c>
      <c r="L15" s="26" t="n">
        <v>4</v>
      </c>
      <c r="M15" s="26" t="inlineStr">
        <is>
          <t>Built</t>
        </is>
      </c>
      <c r="N15" s="27" t="inlineStr">
        <is>
          <t>Deck slides + stacked job-aid card + try-this task</t>
        </is>
      </c>
      <c r="O15" s="27" t="inlineStr">
        <is>
          <t>—</t>
        </is>
      </c>
      <c r="P15" s="27" t="inlineStr">
        <is>
          <t>—</t>
        </is>
      </c>
    </row>
    <row r="16" ht="22.35" customHeight="1" s="20">
      <c r="A16" s="28" t="inlineStr">
        <is>
          <t>IA</t>
        </is>
      </c>
      <c r="B16" s="29" t="inlineStr">
        <is>
          <t>Intermediate — From Composing to Directing</t>
        </is>
      </c>
      <c r="C16" s="29" t="inlineStr">
        <is>
          <t>APPENDIX — go deeper (self-read)</t>
        </is>
      </c>
      <c r="D16" s="29" t="inlineStr">
        <is>
          <t>Reusable templates; negative examples; creativity/temperature; self-check prompting</t>
        </is>
      </c>
      <c r="E16" s="29" t="inlineStr">
        <is>
          <t>—</t>
        </is>
      </c>
      <c r="F16" s="29" t="inlineStr">
        <is>
          <t>Optional depth without bloating the live session</t>
        </is>
      </c>
      <c r="G16" s="29" t="inlineStr">
        <is>
          <t>Appendix concept + example pairs</t>
        </is>
      </c>
      <c r="H16" s="29" t="inlineStr">
        <is>
          <t>Assorted BJ's tasks</t>
        </is>
      </c>
      <c r="I16" s="29" t="inlineStr">
        <is>
          <t>— (self-read)</t>
        </is>
      </c>
      <c r="J16" s="28" t="inlineStr">
        <is>
          <t>Optional</t>
        </is>
      </c>
      <c r="K16" s="28" t="inlineStr">
        <is>
          <t>Self-read</t>
        </is>
      </c>
      <c r="L16" s="28" t="n">
        <v>0</v>
      </c>
      <c r="M16" s="28" t="inlineStr">
        <is>
          <t>Built</t>
        </is>
      </c>
      <c r="N16" s="29" t="inlineStr">
        <is>
          <t>Template starters; example library</t>
        </is>
      </c>
      <c r="O16" s="29" t="inlineStr">
        <is>
          <t>—</t>
        </is>
      </c>
      <c r="P16" s="29" t="inlineStr">
        <is>
          <t>Anthropic; promptingguide.ai few-shot/CoT (Jul 2026)</t>
        </is>
      </c>
    </row>
    <row r="17" ht="32.8" customHeight="1" s="20">
      <c r="A17" s="30" t="inlineStr">
        <is>
          <t>A0</t>
        </is>
      </c>
      <c r="B17" s="31" t="inlineStr">
        <is>
          <t>Advanced — From Directing to Designing</t>
        </is>
      </c>
      <c r="C17" s="31" t="inlineStr">
        <is>
          <t>Roadmap “you are here” + recap</t>
        </is>
      </c>
      <c r="D17" s="31" t="inlineStr">
        <is>
          <t>Re-anchor on the journey; recall the full spine</t>
        </is>
      </c>
      <c r="E17" s="31" t="inlineStr">
        <is>
          <t>Roadmap / Maturity model</t>
        </is>
      </c>
      <c r="F17" s="31" t="inlineStr">
        <is>
          <t>Continuity; frames Advanced as “designing,” the multiplier stage</t>
        </is>
      </c>
      <c r="G17" s="31" t="inlineStr">
        <is>
          <t>Divider, roadmap graphic</t>
        </is>
      </c>
      <c r="H17" s="31" t="inlineStr">
        <is>
          <t>A reusable weekly “club feedback → manager summary” workflow (new thread)</t>
        </is>
      </c>
      <c r="I17" s="31" t="inlineStr">
        <is>
          <t>Roadmap with Advanced highlighted</t>
        </is>
      </c>
      <c r="J17" s="30" t="inlineStr">
        <is>
          <t>Core</t>
        </is>
      </c>
      <c r="K17" s="30" t="inlineStr">
        <is>
          <t>Both</t>
        </is>
      </c>
      <c r="L17" s="30" t="n">
        <v>3</v>
      </c>
      <c r="M17" s="30" t="inlineStr">
        <is>
          <t>Built</t>
        </is>
      </c>
      <c r="N17" s="31" t="inlineStr">
        <is>
          <t>Deck slides</t>
        </is>
      </c>
      <c r="O17" s="31" t="inlineStr">
        <is>
          <t>—</t>
        </is>
      </c>
      <c r="P17" s="31" t="inlineStr">
        <is>
          <t>Skill house-rules</t>
        </is>
      </c>
    </row>
    <row r="18" ht="22.35" customHeight="1" s="20">
      <c r="A18" s="30" t="inlineStr">
        <is>
          <t>A1</t>
        </is>
      </c>
      <c r="B18" s="31" t="inlineStr">
        <is>
          <t>Advanced — From Directing to Designing</t>
        </is>
      </c>
      <c r="C18" s="31" t="inlineStr">
        <is>
          <t>Chain the work</t>
        </is>
      </c>
      <c r="D18" s="31" t="inlineStr">
        <is>
          <t>Break a big task into a chain of smaller prompted steps</t>
        </is>
      </c>
      <c r="E18" s="31" t="inlineStr">
        <is>
          <t>Prompt chaining</t>
        </is>
      </c>
      <c r="F18" s="31" t="inlineStr">
        <is>
          <t>Complex BJ's tasks fail as one giant ask; pipelines are reliable</t>
        </is>
      </c>
      <c r="G18" s="31" t="inlineStr">
        <is>
          <t>Step-by-step walkthrough</t>
        </is>
      </c>
      <c r="H18" s="31" t="inlineStr">
        <is>
          <t>Raw week of club feedback → extract → analyze → draft summary</t>
        </is>
      </c>
      <c r="I18" s="31" t="inlineStr">
        <is>
          <t>Build the summary in staged steps, not one prompt</t>
        </is>
      </c>
      <c r="J18" s="30" t="inlineStr">
        <is>
          <t>Core</t>
        </is>
      </c>
      <c r="K18" s="30" t="inlineStr">
        <is>
          <t>Both</t>
        </is>
      </c>
      <c r="L18" s="30" t="n">
        <v>8</v>
      </c>
      <c r="M18" s="30" t="inlineStr">
        <is>
          <t>Built</t>
        </is>
      </c>
      <c r="N18" s="31" t="inlineStr">
        <is>
          <t>Deck slides</t>
        </is>
      </c>
      <c r="O18" s="31" t="inlineStr">
        <is>
          <t>—</t>
        </is>
      </c>
      <c r="P18" s="31" t="inlineStr">
        <is>
          <t>Anthropic (chain prompts) (Jul 2026)</t>
        </is>
      </c>
    </row>
    <row r="19" ht="32.8" customHeight="1" s="20">
      <c r="A19" s="30" t="inlineStr">
        <is>
          <t>A2</t>
        </is>
      </c>
      <c r="B19" s="31" t="inlineStr">
        <is>
          <t>Advanced — From Directing to Designing</t>
        </is>
      </c>
      <c r="C19" s="31" t="inlineStr">
        <is>
          <t>Reusable templates</t>
        </is>
      </c>
      <c r="D19" s="31" t="inlineStr">
        <is>
          <t>Build a parameterized, fill-in-the-blanks prompt the team can reuse</t>
        </is>
      </c>
      <c r="E19" s="31" t="inlineStr">
        <is>
          <t>CO-STAR (as a template) + system prompts</t>
        </is>
      </c>
      <c r="F19" s="31" t="inlineStr">
        <is>
          <t>The core multiplier move — one Champion's prompt scales to many colleagues</t>
        </is>
      </c>
      <c r="G19" s="31" t="inlineStr">
        <is>
          <t>Teaching card, worked example</t>
        </is>
      </c>
      <c r="H19" s="31" t="inlineStr">
        <is>
          <t>A “member complaint response” template with slots</t>
        </is>
      </c>
      <c r="I19" s="31" t="inlineStr">
        <is>
          <t>Turn the Beginner reply into a reusable slotted template</t>
        </is>
      </c>
      <c r="J19" s="30" t="inlineStr">
        <is>
          <t>Core</t>
        </is>
      </c>
      <c r="K19" s="30" t="inlineStr">
        <is>
          <t>Both</t>
        </is>
      </c>
      <c r="L19" s="30" t="n">
        <v>8</v>
      </c>
      <c r="M19" s="30" t="inlineStr">
        <is>
          <t>Built</t>
        </is>
      </c>
      <c r="N19" s="31" t="inlineStr">
        <is>
          <t>Deck slides + reusable-prompt starter</t>
        </is>
      </c>
      <c r="O19" s="31" t="inlineStr">
        <is>
          <t>—</t>
        </is>
      </c>
      <c r="P19" s="31" t="inlineStr">
        <is>
          <t>Anthropic system prompts; OpenAI (Jul 2026)</t>
        </is>
      </c>
    </row>
    <row r="20" ht="32.8" customHeight="1" s="20">
      <c r="A20" s="30" t="inlineStr">
        <is>
          <t>A3</t>
        </is>
      </c>
      <c r="B20" s="31" t="inlineStr">
        <is>
          <t>Advanced — From Directing to Designing</t>
        </is>
      </c>
      <c r="C20" s="31" t="inlineStr">
        <is>
          <t>Context engineering</t>
        </is>
      </c>
      <c r="D20" s="31" t="inlineStr">
        <is>
          <t>Decide what to include vs. leave out when there's a lot of material</t>
        </is>
      </c>
      <c r="E20" s="31" t="inlineStr">
        <is>
          <t>CO-STAR: Context (at scale)</t>
        </is>
      </c>
      <c r="F20" s="31" t="inlineStr">
        <is>
          <t>Current frontier; quality of context beats volume</t>
        </is>
      </c>
      <c r="G20" s="31" t="inlineStr">
        <is>
          <t>Before/after (bloated vs. tight context)</t>
        </is>
      </c>
      <c r="H20" s="31" t="inlineStr">
        <is>
          <t>Same workflow with bloated vs. well-chosen context</t>
        </is>
      </c>
      <c r="I20" s="31" t="inlineStr">
        <is>
          <t>Compare results from too-much vs. right-sized context</t>
        </is>
      </c>
      <c r="J20" s="30" t="inlineStr">
        <is>
          <t>Core</t>
        </is>
      </c>
      <c r="K20" s="30" t="inlineStr">
        <is>
          <t>Both</t>
        </is>
      </c>
      <c r="L20" s="30" t="n">
        <v>8</v>
      </c>
      <c r="M20" s="30" t="inlineStr">
        <is>
          <t>Built</t>
        </is>
      </c>
      <c r="N20" s="31" t="inlineStr">
        <is>
          <t>Deck slides</t>
        </is>
      </c>
      <c r="O20" s="31" t="inlineStr">
        <is>
          <t>ADDED to core (beyond basic skeleton): context engineering is the current best-practice frontier</t>
        </is>
      </c>
      <c r="P20" s="31" t="inlineStr">
        <is>
          <t>Anthropic “Effective context engineering” (Jul 2026; re-check quarterly)</t>
        </is>
      </c>
    </row>
    <row r="21" ht="22.35" customHeight="1" s="20">
      <c r="A21" s="30" t="inlineStr">
        <is>
          <t>A4</t>
        </is>
      </c>
      <c r="B21" s="31" t="inlineStr">
        <is>
          <t>Advanced — From Directing to Designing</t>
        </is>
      </c>
      <c r="C21" s="31" t="inlineStr">
        <is>
          <t>Evaluate outputs</t>
        </is>
      </c>
      <c r="D21" s="31" t="inlineStr">
        <is>
          <t>Define “good,” then test two prompt versions on the same input</t>
        </is>
      </c>
      <c r="E21" s="31" t="inlineStr">
        <is>
          <t>Refine: Evaluate (formalized)</t>
        </is>
      </c>
      <c r="F21" s="31" t="inlineStr">
        <is>
          <t>“How do I know it's good?” is the gap between a dabbler and a multiplier</t>
        </is>
      </c>
      <c r="G21" s="31" t="inlineStr">
        <is>
          <t>Teaching card, before/after (A/B)</t>
        </is>
      </c>
      <c r="H21" s="31" t="inlineStr">
        <is>
          <t>A/B two summary prompts against one real feedback set</t>
        </is>
      </c>
      <c r="I21" s="31" t="inlineStr">
        <is>
          <t>Live A/B; score against explicit success criteria</t>
        </is>
      </c>
      <c r="J21" s="30" t="inlineStr">
        <is>
          <t>Core</t>
        </is>
      </c>
      <c r="K21" s="30" t="inlineStr">
        <is>
          <t>Both</t>
        </is>
      </c>
      <c r="L21" s="30" t="n">
        <v>8</v>
      </c>
      <c r="M21" s="30" t="inlineStr">
        <is>
          <t>Built</t>
        </is>
      </c>
      <c r="N21" s="31" t="inlineStr">
        <is>
          <t>Deck slides + simple eval checklist</t>
        </is>
      </c>
      <c r="O21" s="31" t="inlineStr">
        <is>
          <t>PROMOTED to core: most basic prompt courses skip evaluation; Champions need it</t>
        </is>
      </c>
      <c r="P21" s="31" t="inlineStr">
        <is>
          <t>Google TCREI (Evaluate); OpenAI (test systematically) (Jul 2026)</t>
        </is>
      </c>
    </row>
    <row r="22" ht="32.8" customHeight="1" s="20">
      <c r="A22" s="30" t="inlineStr">
        <is>
          <t>A5</t>
        </is>
      </c>
      <c r="B22" s="31" t="inlineStr">
        <is>
          <t>Advanced — From Directing to Designing</t>
        </is>
      </c>
      <c r="C22" s="31" t="inlineStr">
        <is>
          <t>Guardrails &amp; responsible use</t>
        </is>
      </c>
      <c r="D22" s="31" t="inlineStr">
        <is>
          <t>Reduce made-up facts, verify, and keep sensitive / member data out</t>
        </is>
      </c>
      <c r="E22" s="31" t="inlineStr">
        <is>
          <t>Guardrails</t>
        </is>
      </c>
      <c r="F22" s="31" t="inlineStr">
        <is>
          <t>Better prompting = feeding more real data in; responsible use rides along with the technique</t>
        </is>
      </c>
      <c r="G22" s="31" t="inlineStr">
        <is>
          <t>Teaching card, checklist</t>
        </is>
      </c>
      <c r="H22" s="31" t="inlineStr">
        <is>
          <t>A grounded, “cite-source / say-if-unsure” version of the workflow</t>
        </is>
      </c>
      <c r="I22" s="31" t="inlineStr">
        <is>
          <t>Grounded prompt + what never gets pasted in</t>
        </is>
      </c>
      <c r="J22" s="30" t="inlineStr">
        <is>
          <t>Core</t>
        </is>
      </c>
      <c r="K22" s="30" t="inlineStr">
        <is>
          <t>Both</t>
        </is>
      </c>
      <c r="L22" s="30" t="n">
        <v>6</v>
      </c>
      <c r="M22" s="30" t="inlineStr">
        <is>
          <t>Built</t>
        </is>
      </c>
      <c r="N22" s="31" t="inlineStr">
        <is>
          <t>Deck slides + data-safety checklist</t>
        </is>
      </c>
      <c r="O22" s="31" t="inlineStr">
        <is>
          <t>Built-in guidance; SWAP for BJ's official responsible-AI policy if/when one exists</t>
        </is>
      </c>
      <c r="P22" s="31" t="inlineStr">
        <is>
          <t>NIST AI RMF (framing); BJ's policy TBC (Jul 2026)</t>
        </is>
      </c>
    </row>
    <row r="23" ht="22.35" customHeight="1" s="20">
      <c r="A23" s="30" t="inlineStr">
        <is>
          <t>A6</t>
        </is>
      </c>
      <c r="B23" s="31" t="inlineStr">
        <is>
          <t>Advanced — From Directing to Designing</t>
        </is>
      </c>
      <c r="C23" s="31" t="inlineStr">
        <is>
          <t>Takeaways + roadmap recap + try-this</t>
        </is>
      </c>
      <c r="D23" s="31" t="inlineStr">
        <is>
          <t>Recall the Advanced moves; commit to building one reusable asset</t>
        </is>
      </c>
      <c r="E23" s="31" t="inlineStr">
        <is>
          <t>Roadmap / all</t>
        </is>
      </c>
      <c r="F23" s="31" t="inlineStr">
        <is>
          <t>Closes the whole journey; turns Champions into builders</t>
        </is>
      </c>
      <c r="G23" s="31" t="inlineStr">
        <is>
          <t>Takeaways, roadmap recap, try-this</t>
        </is>
      </c>
      <c r="H23" s="31" t="inlineStr">
        <is>
          <t>Weekly-feedback workflow (recap)</t>
        </is>
      </c>
      <c r="I23" s="31" t="inlineStr">
        <is>
          <t>Recap; “you've completed the journey” + build-one challenge</t>
        </is>
      </c>
      <c r="J23" s="30" t="inlineStr">
        <is>
          <t>Core</t>
        </is>
      </c>
      <c r="K23" s="30" t="inlineStr">
        <is>
          <t>Both</t>
        </is>
      </c>
      <c r="L23" s="30" t="n">
        <v>4</v>
      </c>
      <c r="M23" s="30" t="inlineStr">
        <is>
          <t>Built</t>
        </is>
      </c>
      <c r="N23" s="31" t="inlineStr">
        <is>
          <t>Deck slides + full stacked job-aid set + build challenge</t>
        </is>
      </c>
      <c r="O23" s="31" t="inlineStr">
        <is>
          <t>—</t>
        </is>
      </c>
      <c r="P23" s="31" t="inlineStr">
        <is>
          <t>—</t>
        </is>
      </c>
    </row>
    <row r="24" ht="32.8" customHeight="1" s="20">
      <c r="A24" s="32" t="inlineStr">
        <is>
          <t>AA</t>
        </is>
      </c>
      <c r="B24" s="33" t="inlineStr">
        <is>
          <t>Advanced — From Directing to Designing</t>
        </is>
      </c>
      <c r="C24" s="33" t="inlineStr">
        <is>
          <t>APPENDIX — go deeper (self-read)</t>
        </is>
      </c>
      <c r="D24" s="33" t="inlineStr">
        <is>
          <t>Self-critique &amp; prefilling; awareness of agentic patterns (ReAct), retrieval/RAG, self-consistency; prompt library</t>
        </is>
      </c>
      <c r="E24" s="33" t="inlineStr">
        <is>
          <t>—</t>
        </is>
      </c>
      <c r="F24" s="33" t="inlineStr">
        <is>
          <t>Research-grade pointers for the most advanced Champions</t>
        </is>
      </c>
      <c r="G24" s="33" t="inlineStr">
        <is>
          <t>Appendix concept + example pairs</t>
        </is>
      </c>
      <c r="H24" s="33" t="inlineStr">
        <is>
          <t>Assorted</t>
        </is>
      </c>
      <c r="I24" s="33" t="inlineStr">
        <is>
          <t>— (self-read)</t>
        </is>
      </c>
      <c r="J24" s="32" t="inlineStr">
        <is>
          <t>Optional</t>
        </is>
      </c>
      <c r="K24" s="32" t="inlineStr">
        <is>
          <t>Self-read</t>
        </is>
      </c>
      <c r="L24" s="32" t="n">
        <v>0</v>
      </c>
      <c r="M24" s="32" t="inlineStr">
        <is>
          <t>Built</t>
        </is>
      </c>
      <c r="N24" s="33" t="inlineStr">
        <is>
          <t>Prompt-library starter; further-reading list</t>
        </is>
      </c>
      <c r="O24" s="33" t="inlineStr">
        <is>
          <t>Research-grade depth pushed to appendix per “comprehensive ≠ exhaustive”</t>
        </is>
      </c>
      <c r="P24" s="33" t="inlineStr">
        <is>
          <t>Anthropic; promptingguide.ai (ReAct/RAG) (Jul 2026)</t>
        </is>
      </c>
    </row>
    <row r="25">
      <c r="A25" t="inlineStr">
        <is>
          <t>CC</t>
        </is>
      </c>
      <c r="B25" t="inlineStr">
        <is>
          <t>Crash Course — All Levels</t>
        </is>
      </c>
      <c r="C25" t="inlineStr">
        <is>
          <t>All-in-one crash course (20 slides)</t>
        </is>
      </c>
      <c r="D25" t="inlineStr">
        <is>
          <t>Walk all four stages — every technique, condensed — in one session</t>
        </is>
      </c>
      <c r="E25" t="inlineStr">
        <is>
          <t>All (CO-STAR → Guardrails)</t>
        </is>
      </c>
      <c r="F25" t="inlineStr">
        <is>
          <t>One session for kickoffs, refreshers, and onboarding new Champions</t>
        </is>
      </c>
      <c r="G25" t="inlineStr">
        <is>
          <t>Divider, roadmap, objectives, concept+real before/after per technique, capstone, cheat-sheet card</t>
        </is>
      </c>
      <c r="H25" t="inlineStr">
        <is>
          <t>Weekend member-feedback batch (~30 comments; canonical counts)</t>
        </is>
      </c>
      <c r="I25" t="inlineStr">
        <is>
          <t>Optional: run the CO-STAR-applied slide live</t>
        </is>
      </c>
      <c r="J25" t="inlineStr">
        <is>
          <t>Core</t>
        </is>
      </c>
      <c r="K25" t="inlineStr">
        <is>
          <t>Both</t>
        </is>
      </c>
      <c r="L25" t="n">
        <v>60</v>
      </c>
      <c r="M25" t="inlineStr">
        <is>
          <t>Built</t>
        </is>
      </c>
      <c r="N25" t="inlineStr">
        <is>
          <t>Deck (pptx+pdf) in "0 - Crash Course (Start Here)"</t>
        </is>
      </c>
      <c r="O25" t="inlineStr">
        <is>
          <t>ADDED per user request: single ≤20-slide deck covering every topic; concept-on-slide format</t>
        </is>
      </c>
      <c r="P25" t="inlineStr">
        <is>
          <t>User request (Jul 2026)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34" customWidth="1" style="19" min="2" max="2"/>
    <col width="14" customWidth="1" style="19" min="3" max="4"/>
    <col width="10" customWidth="1" style="19" min="5" max="5"/>
  </cols>
  <sheetData>
    <row r="1"/>
    <row r="2" ht="17.35" customHeight="1" s="20">
      <c r="B2" s="34" t="inlineStr">
        <is>
          <t>Prompt Engineering — Curriculum Coverage</t>
        </is>
      </c>
    </row>
    <row r="3"/>
    <row r="4" ht="15" customHeight="1" s="20">
      <c r="B4" s="35" t="inlineStr">
        <is>
          <t>Overall</t>
        </is>
      </c>
    </row>
    <row r="5" ht="15" customHeight="1" s="20">
      <c r="B5" s="36" t="inlineStr">
        <is>
          <t>Total sections</t>
        </is>
      </c>
      <c r="C5" s="36">
        <f>COUNTA('Curriculum Map'!M2:M25)</f>
        <v/>
      </c>
    </row>
    <row r="6" ht="15" customHeight="1" s="20">
      <c r="B6" s="36" t="inlineStr">
        <is>
          <t>Built</t>
        </is>
      </c>
      <c r="C6" s="36">
        <f>COUNTIF('Curriculum Map'!M2:M25,"Built")</f>
        <v/>
      </c>
    </row>
    <row r="7" ht="15" customHeight="1" s="20">
      <c r="B7" s="36" t="inlineStr">
        <is>
          <t>Reviewed</t>
        </is>
      </c>
      <c r="C7" s="36">
        <f>COUNTIF('Curriculum Map'!M2:M25,"Reviewed")</f>
        <v/>
      </c>
    </row>
    <row r="8" ht="15" customHeight="1" s="20">
      <c r="B8" s="36" t="inlineStr">
        <is>
          <t>Planned</t>
        </is>
      </c>
      <c r="C8" s="36">
        <f>COUNTIF('Curriculum Map'!M2:M25,"Planned")</f>
        <v/>
      </c>
    </row>
    <row r="9" ht="15" customHeight="1" s="20">
      <c r="B9" s="36" t="inlineStr">
        <is>
          <t>% complete (Built+Reviewed)</t>
        </is>
      </c>
      <c r="C9" s="37">
        <f>IFERROR((COUNTIF('Curriculum Map'!M2:M25,"Built")+COUNTIF('Curriculum Map'!M2:M25,"Reviewed"))/COUNTA('Curriculum Map'!M2:M25),0)</f>
        <v/>
      </c>
    </row>
    <row r="10"/>
    <row r="11" ht="15" customHeight="1" s="20">
      <c r="B11" s="35" t="inlineStr">
        <is>
          <t>By level</t>
        </is>
      </c>
    </row>
    <row r="12" ht="15" customHeight="1" s="20">
      <c r="B12" s="35" t="inlineStr">
        <is>
          <t>Level</t>
        </is>
      </c>
      <c r="C12" s="35" t="inlineStr">
        <is>
          <t>Sections</t>
        </is>
      </c>
      <c r="D12" s="35" t="inlineStr">
        <is>
          <t>Live minutes</t>
        </is>
      </c>
      <c r="E12" s="35" t="inlineStr">
        <is>
          <t>Built</t>
        </is>
      </c>
    </row>
    <row r="13" ht="15" customHeight="1" s="20">
      <c r="B13" s="36" t="inlineStr">
        <is>
          <t>Beginner — From Asking to Composing</t>
        </is>
      </c>
      <c r="C13" s="36">
        <f>COUNTIF('Curriculum Map'!B2:B25,"Beginner — From Asking to Composing")</f>
        <v/>
      </c>
      <c r="D13" s="36">
        <f>SUMIF('Curriculum Map'!B2:B25,"Beginner — From Asking to Composing",'Curriculum Map'!L2:L25)</f>
        <v/>
      </c>
      <c r="E13" s="36">
        <f>COUNTIFS('Curriculum Map'!B2:B25,"Beginner — From Asking to Composing",'Curriculum Map'!M2:M25,"Built")</f>
        <v/>
      </c>
    </row>
    <row r="14" ht="15" customHeight="1" s="20">
      <c r="B14" s="36" t="inlineStr">
        <is>
          <t>Intermediate — From Composing to Directing</t>
        </is>
      </c>
      <c r="C14" s="36">
        <f>COUNTIF('Curriculum Map'!B2:B25,"Intermediate — From Composing to Directing")</f>
        <v/>
      </c>
      <c r="D14" s="36">
        <f>SUMIF('Curriculum Map'!B2:B25,"Intermediate — From Composing to Directing",'Curriculum Map'!L2:L25)</f>
        <v/>
      </c>
      <c r="E14" s="36">
        <f>COUNTIFS('Curriculum Map'!B2:B25,"Intermediate — From Composing to Directing",'Curriculum Map'!M2:M25,"Built")</f>
        <v/>
      </c>
    </row>
    <row r="15" ht="15" customHeight="1" s="20">
      <c r="B15" s="36" t="inlineStr">
        <is>
          <t>Advanced — From Directing to Designing</t>
        </is>
      </c>
      <c r="C15" s="36">
        <f>COUNTIF('Curriculum Map'!B2:B25,"Advanced — From Directing to Designing")</f>
        <v/>
      </c>
      <c r="D15" s="36">
        <f>SUMIF('Curriculum Map'!B2:B25,"Advanced — From Directing to Designing",'Curriculum Map'!L2:L25)</f>
        <v/>
      </c>
      <c r="E15" s="36">
        <f>COUNTIFS('Curriculum Map'!B2:B25,"Advanced — From Directing to Designing",'Curriculum Map'!M2:M25,"Built")</f>
        <v/>
      </c>
    </row>
    <row r="16" ht="15" customHeight="1" s="20">
      <c r="B16" s="35" t="inlineStr">
        <is>
          <t>TOTAL</t>
        </is>
      </c>
      <c r="C16" s="35">
        <f>SUM(C13:C15)</f>
        <v/>
      </c>
      <c r="D16" s="35">
        <f>SUM(D13:D15)</f>
        <v/>
      </c>
      <c r="E16" s="35">
        <f>SUM(E13:E15)</f>
        <v/>
      </c>
    </row>
    <row r="17"/>
    <row r="18" ht="15" customHeight="1" s="20">
      <c r="B18" s="38" t="inlineStr">
        <is>
          <t>Flip Status (Planned→Built→Reviewed) in the Curriculum Map as each section is built; these counts update automatically.</t>
        </is>
      </c>
    </row>
    <row r="19" ht="15" customHeight="1" s="20">
      <c r="B19" s="38" t="inlineStr">
        <is>
          <t>Live minutes exclude appendix (self-read). Each level targets ~45 live minutes.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2026-07-11T19:20:47Z</dcterms:created>
  <dcterms:modified xmlns:dcterms="http://purl.org/dc/terms/" xmlns:xsi="http://www.w3.org/2001/XMLSchema-instance" xsi:type="dcterms:W3CDTF">2026-07-11T22:11:18Z</dcterms:modified>
  <cp:revision>0</cp:revision>
</cp:coreProperties>
</file>